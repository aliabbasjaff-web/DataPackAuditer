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Historical Financials" sheetId="2" state="visible" r:id="rId4"/>
    <sheet name="Balance Sheet" sheetId="3" state="visible" r:id="rId5"/>
    <sheet name="Cash Flow" sheetId="4" state="visible" r:id="rId6"/>
    <sheet name="Operating 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<sst xmlns="http://schemas.openxmlformats.org/spreadsheetml/2006/main" count="81" uniqueCount="50">
  <si>
    <t xml:space="preserve">Super Micro Computer, Inc. (NASDAQ: SMCI) -- Data Pack</t>
  </si>
  <si>
    <t xml:space="preserve">$ in millions unless noted; fiscal years ended June 30. Source: SEC EDGAR XBRL (10-K filings).</t>
  </si>
  <si>
    <t xml:space="preserve">Overview: SMCI designs and manufactures high-performance server and storage systems, with growth driven by AI/GPU data-center demand. Revenue scaled ~6x from FY2021 to FY2025 while gross margin compressed, and FY2024 saw a large inventory-driven cash outflow.</t>
  </si>
  <si>
    <t xml:space="preserve">Financial snapshot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</si>
  <si>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</si>
  <si>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</si>
  <si>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</si>
  <si>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</si>
  <si>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</si>
  <si>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</t>
  </si>
  <si>
    <t xml:space="preserve">Revenue growth %</t>
  </si>
  <si>
    <t xml:space="preserve">Gross margin %</t>
  </si>
  <si>
    <t xml:space="preserve">Operating income</t>
  </si>
  <si>
    <t xml:space="preserve">Net income</t>
  </si>
  <si>
    <t xml:space="preserve">Operating cash flow</t>
  </si>
  <si>
    <t xml:space="preserve">Cash and equivalents</t>
  </si>
  <si>
    <t xml:space="preserve">Highlights: 46.6% FY2025 revenue growth on Blackwell-generation demand; OCF swung from $(2,486)M (FY2024) to $1,660M (FY2025); $5.2B cash provides balance-sheet flexibility.</t>
  </si>
  <si>
    <t xml:space="preserve">Considerations: gross margin down ~270bps YoY (11.1% FY2025); net income declined 9% despite revenue growth; FY2024 10-K was filed late (Feb 2025) following auditor transition.</t>
  </si>
  <si>
    <t xml:space="preserve">Super Micro Computer, Inc. -- Income Statement</t>
  </si>
  <si>
    <t xml:space="preserve">$ in millions; fiscal years ended June 30</t>
  </si>
  <si>
    <t xml:space="preserve">SEC EDGAR, FY2025 10-K (accn 0001375365-25-000027, filed 2025-08-28); FY2021-23 as restated in later filings</t>
  </si>
  <si>
    <t xml:space="preserve">Cost of sales</t>
  </si>
  <si>
    <t xml:space="preserve">Derived: Revenue less Gross profit</t>
  </si>
  <si>
    <t xml:space="preserve">Gross profit</t>
  </si>
  <si>
    <t xml:space="preserve">SEC EDGAR, FY2025 10-K (accn 0001375365-25-000027, filed 2025-08-28)</t>
  </si>
  <si>
    <t xml:space="preserve">  Gross margin %</t>
  </si>
  <si>
    <t xml:space="preserve">Research &amp; development</t>
  </si>
  <si>
    <t xml:space="preserve">SG&amp;A and other opex</t>
  </si>
  <si>
    <t xml:space="preserve">Derived: Gross profit less R&amp;D less Operating income</t>
  </si>
  <si>
    <t xml:space="preserve">  Operating margin %</t>
  </si>
  <si>
    <t xml:space="preserve">  Net margin %</t>
  </si>
  <si>
    <t xml:space="preserve">  Revenue growth %</t>
  </si>
  <si>
    <t xml:space="preserve">FY2021 growth n/a (FY2020 not presented)</t>
  </si>
  <si>
    <t xml:space="preserve">Super Micro Computer, Inc. -- Balance Sheet (selected items)</t>
  </si>
  <si>
    <t xml:space="preserve">$ in millions; as of June 30. Selected working-capital items only -- full statement pending broader data ingestion</t>
  </si>
  <si>
    <t xml:space="preserve">Accounts receivable, net</t>
  </si>
  <si>
    <t xml:space="preserve">Inventory, net</t>
  </si>
  <si>
    <t xml:space="preserve">Cash + AR + Inventory</t>
  </si>
  <si>
    <t xml:space="preserve">Super Micro Computer, Inc. -- Cash Flow (selected items)</t>
  </si>
  <si>
    <t xml:space="preserve">Net cash from operating activities</t>
  </si>
  <si>
    <t xml:space="preserve">SEC EDGAR, FY2025 10-K (accn 0001375365-25-000027, filed 2025-08-28); FY2024 per delayed 10-K (SEC EDGAR, FY2024 10-K (accn 0001375365-25-000004, filed 2025-02-25))</t>
  </si>
  <si>
    <t xml:space="preserve">  Memo: Net income (link)</t>
  </si>
  <si>
    <t xml:space="preserve">  OCF / Net income conversion</t>
  </si>
  <si>
    <t xml:space="preserve">Super Micro Computer, Inc. -- Operating Metrics</t>
  </si>
  <si>
    <t xml:space="preserve">Ratios computed from statement tabs; fiscal years ended June 30</t>
  </si>
  <si>
    <t xml:space="preserve">Days sales outstanding (DSO)</t>
  </si>
  <si>
    <t xml:space="preserve">Period-end AR / revenue x 365</t>
  </si>
  <si>
    <t xml:space="preserve">Days inventory outstanding (DIO)</t>
  </si>
  <si>
    <t xml:space="preserve">Period-end inventory / COGS x 365</t>
  </si>
  <si>
    <t xml:space="preserve">R&amp;D % of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</si>
</sst>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;&quot;($&quot;#,##0.0\)"/>
    <numFmt numFmtId="166" formatCode="0.0%;\(0.0%\)"/>
    <numFmt numFmtId="167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B5B6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B5B66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B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</row>
    <row r="8" customFormat="false" ht="15" hidden="false" customHeight="false" outlineLevel="0" collapsed="false">
      <c r="A8" s="6" t="s">
        <v>9</v>
      </c>
      <c r="B8" s="7" t="n">
        <f aca="false">'Historical Financials'!B5</f>
        <v>3557.4</v>
      </c>
      <c r="C8" s="7" t="n">
        <f aca="false">'Historical Financials'!C5</f>
        <v>5196.1</v>
      </c>
      <c r="D8" s="7" t="n">
        <f aca="false">'Historical Financials'!D5</f>
        <v>7123.5</v>
      </c>
      <c r="E8" s="7" t="n">
        <f aca="false">'Historical Financials'!E5</f>
        <v>14989.3</v>
      </c>
      <c r="F8" s="7" t="n">
        <f aca="false">'Historical Financials'!F5</f>
        <v>21972</v>
      </c>
    </row>
    <row r="9" customFormat="false" ht="15" hidden="false" customHeight="false" outlineLevel="0" collapsed="false">
      <c r="A9" s="6" t="s">
        <v>10</v>
      </c>
      <c r="B9" s="8" t="n">
        <f aca="false">'Historical Financials'!B18</f>
        <v>0</v>
      </c>
      <c r="C9" s="8" t="n">
        <f aca="false">'Historical Financials'!C18</f>
        <v>0.46064541519087</v>
      </c>
      <c r="D9" s="8" t="n">
        <f aca="false">'Historical Financials'!D18</f>
        <v>0.370932045187737</v>
      </c>
      <c r="E9" s="8" t="n">
        <f aca="false">'Historical Financials'!E18</f>
        <v>1.10420439390749</v>
      </c>
      <c r="F9" s="8" t="n">
        <f aca="false">'Historical Financials'!F18</f>
        <v>0.465845636554075</v>
      </c>
    </row>
    <row r="10" customFormat="false" ht="15" hidden="false" customHeight="false" outlineLevel="0" collapsed="false">
      <c r="A10" s="6" t="s">
        <v>11</v>
      </c>
      <c r="B10" s="8" t="n">
        <f aca="false">'Historical Financials'!B8</f>
        <v>0.150250182717715</v>
      </c>
      <c r="C10" s="8" t="n">
        <f aca="false">'Historical Financials'!C8</f>
        <v>0.153961625064953</v>
      </c>
      <c r="D10" s="8" t="n">
        <f aca="false">'Historical Financials'!D8</f>
        <v>0.180108092931845</v>
      </c>
      <c r="E10" s="8" t="n">
        <f aca="false">'Historical Financials'!E8</f>
        <v>0.137524767667603</v>
      </c>
      <c r="F10" s="8" t="n">
        <f aca="false">'Historical Financials'!F8</f>
        <v>0.110590751866011</v>
      </c>
    </row>
    <row r="11" customFormat="false" ht="15" hidden="false" customHeight="false" outlineLevel="0" collapsed="false">
      <c r="A11" s="6" t="s">
        <v>12</v>
      </c>
      <c r="B11" s="7" t="n">
        <f aca="false">'Historical Financials'!B12</f>
        <v>123.9</v>
      </c>
      <c r="C11" s="7" t="n">
        <f aca="false">'Historical Financials'!C12</f>
        <v>335.2</v>
      </c>
      <c r="D11" s="7" t="n">
        <f aca="false">'Historical Financials'!D12</f>
        <v>761.1</v>
      </c>
      <c r="E11" s="7" t="n">
        <f aca="false">'Historical Financials'!E12</f>
        <v>1210.8</v>
      </c>
      <c r="F11" s="7" t="n">
        <f aca="false">'Historical Financials'!F12</f>
        <v>1253</v>
      </c>
    </row>
    <row r="12" customFormat="false" ht="15" hidden="false" customHeight="false" outlineLevel="0" collapsed="false">
      <c r="A12" s="6" t="s">
        <v>13</v>
      </c>
      <c r="B12" s="7" t="n">
        <f aca="false">'Historical Financials'!B15</f>
        <v>111.9</v>
      </c>
      <c r="C12" s="7" t="n">
        <f aca="false">'Historical Financials'!C15</f>
        <v>285.2</v>
      </c>
      <c r="D12" s="7" t="n">
        <f aca="false">'Historical Financials'!D15</f>
        <v>640</v>
      </c>
      <c r="E12" s="7" t="n">
        <f aca="false">'Historical Financials'!E15</f>
        <v>1152.7</v>
      </c>
      <c r="F12" s="7" t="n">
        <f aca="false">'Historical Financials'!F15</f>
        <v>1048.9</v>
      </c>
    </row>
    <row r="13" customFormat="false" ht="15" hidden="false" customHeight="false" outlineLevel="0" collapsed="false">
      <c r="A13" s="6" t="s">
        <v>14</v>
      </c>
      <c r="B13" s="7" t="n">
        <f aca="false">'Cash Flow'!B5</f>
        <v>123</v>
      </c>
      <c r="C13" s="7" t="n">
        <f aca="false">'Cash Flow'!C5</f>
        <v>-440.8</v>
      </c>
      <c r="D13" s="7" t="n">
        <f aca="false">'Cash Flow'!D5</f>
        <v>663.6</v>
      </c>
      <c r="E13" s="7" t="n">
        <f aca="false">'Cash Flow'!E5</f>
        <v>-2486</v>
      </c>
      <c r="F13" s="7" t="n">
        <f aca="false">'Cash Flow'!F5</f>
        <v>1659.5</v>
      </c>
    </row>
    <row r="14" customFormat="false" ht="15" hidden="false" customHeight="false" outlineLevel="0" collapsed="false">
      <c r="A14" s="6" t="s">
        <v>15</v>
      </c>
      <c r="B14" s="7" t="n">
        <f aca="false">'Balance Sheet'!B5</f>
        <v>232.3</v>
      </c>
      <c r="C14" s="7" t="n">
        <f aca="false">'Balance Sheet'!C5</f>
        <v>267.4</v>
      </c>
      <c r="D14" s="7" t="n">
        <f aca="false">'Balance Sheet'!D5</f>
        <v>440.5</v>
      </c>
      <c r="E14" s="7" t="n">
        <f aca="false">'Balance Sheet'!E5</f>
        <v>1669.8</v>
      </c>
      <c r="F14" s="7" t="n">
        <f aca="false">'Balance Sheet'!F5</f>
        <v>5169.9</v>
      </c>
    </row>
    <row r="16" customFormat="false" ht="15" hidden="false" customHeight="false" outlineLevel="0" collapsed="false">
      <c r="A16" s="9" t="s">
        <v>16</v>
      </c>
    </row>
    <row r="17" customFormat="false" ht="15" hidden="false" customHeight="false" outlineLevel="0" collapsed="false">
      <c r="A17" s="9" t="s">
        <v>17</v>
      </c>
    </row>
  </sheetData>
  <mergeCells count="1"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0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4"/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customFormat="false" ht="15" hidden="false" customHeight="false" outlineLevel="0" collapsed="false">
      <c r="A5" s="6" t="s">
        <v>9</v>
      </c>
      <c r="B5" s="11" t="n">
        <v>3557.4</v>
      </c>
      <c r="C5" s="11" t="n">
        <v>5196.1</v>
      </c>
      <c r="D5" s="11" t="n">
        <v>7123.5</v>
      </c>
      <c r="E5" s="11" t="n">
        <v>14989.3</v>
      </c>
      <c r="F5" s="11" t="n">
        <v>21972</v>
      </c>
      <c r="G5" s="12" t="s">
        <v>20</v>
      </c>
    </row>
    <row r="6" customFormat="false" ht="15" hidden="false" customHeight="false" outlineLevel="0" collapsed="false">
      <c r="A6" s="6" t="s">
        <v>21</v>
      </c>
      <c r="B6" s="13" t="n">
        <f aca="false">B5-B7</f>
        <v>3022.9</v>
      </c>
      <c r="C6" s="13" t="n">
        <f aca="false">C5-C7</f>
        <v>4396.1</v>
      </c>
      <c r="D6" s="13" t="n">
        <f aca="false">D5-D7</f>
        <v>5840.5</v>
      </c>
      <c r="E6" s="13" t="n">
        <f aca="false">E5-E7</f>
        <v>12927.9</v>
      </c>
      <c r="F6" s="13" t="n">
        <f aca="false">F5-F7</f>
        <v>19542.1</v>
      </c>
      <c r="G6" s="12" t="s">
        <v>22</v>
      </c>
    </row>
    <row r="7" customFormat="false" ht="15" hidden="false" customHeight="false" outlineLevel="0" collapsed="false">
      <c r="A7" s="4" t="s">
        <v>23</v>
      </c>
      <c r="B7" s="14" t="n">
        <v>534.5</v>
      </c>
      <c r="C7" s="14" t="n">
        <v>800</v>
      </c>
      <c r="D7" s="14" t="n">
        <v>1283</v>
      </c>
      <c r="E7" s="14" t="n">
        <v>2061.4</v>
      </c>
      <c r="F7" s="14" t="n">
        <v>2429.9</v>
      </c>
      <c r="G7" s="12" t="s">
        <v>24</v>
      </c>
    </row>
    <row r="8" customFormat="false" ht="15" hidden="false" customHeight="false" outlineLevel="0" collapsed="false">
      <c r="A8" s="6" t="s">
        <v>25</v>
      </c>
      <c r="B8" s="15" t="n">
        <f aca="false">B7/B5</f>
        <v>0.150250182717715</v>
      </c>
      <c r="C8" s="15" t="n">
        <f aca="false">C7/C5</f>
        <v>0.153961625064953</v>
      </c>
      <c r="D8" s="15" t="n">
        <f aca="false">D7/D5</f>
        <v>0.180108092931845</v>
      </c>
      <c r="E8" s="15" t="n">
        <f aca="false">E7/E5</f>
        <v>0.137524767667603</v>
      </c>
      <c r="F8" s="15" t="n">
        <f aca="false">F7/F5</f>
        <v>0.110590751866011</v>
      </c>
    </row>
    <row r="10" customFormat="false" ht="15" hidden="false" customHeight="false" outlineLevel="0" collapsed="false">
      <c r="A10" s="6" t="s">
        <v>26</v>
      </c>
      <c r="B10" s="11" t="n">
        <v>224.4</v>
      </c>
      <c r="C10" s="11" t="n">
        <v>272.3</v>
      </c>
      <c r="D10" s="11" t="n">
        <v>307.3</v>
      </c>
      <c r="E10" s="11" t="n">
        <v>463.5</v>
      </c>
      <c r="F10" s="11" t="n">
        <v>636.5</v>
      </c>
      <c r="G10" s="12" t="s">
        <v>24</v>
      </c>
    </row>
    <row r="11" customFormat="false" ht="15" hidden="false" customHeight="false" outlineLevel="0" collapsed="false">
      <c r="A11" s="6" t="s">
        <v>27</v>
      </c>
      <c r="B11" s="13" t="n">
        <f aca="false">B7-B10-B12</f>
        <v>186.2</v>
      </c>
      <c r="C11" s="13" t="n">
        <f aca="false">C7-C10-C12</f>
        <v>192.5</v>
      </c>
      <c r="D11" s="13" t="n">
        <f aca="false">D7-D10-D12</f>
        <v>214.6</v>
      </c>
      <c r="E11" s="13" t="n">
        <f aca="false">E7-E10-E12</f>
        <v>387.1</v>
      </c>
      <c r="F11" s="13" t="n">
        <f aca="false">F7-F10-F12</f>
        <v>540.4</v>
      </c>
      <c r="G11" s="12" t="s">
        <v>28</v>
      </c>
    </row>
    <row r="12" customFormat="false" ht="15" hidden="false" customHeight="false" outlineLevel="0" collapsed="false">
      <c r="A12" s="4" t="s">
        <v>12</v>
      </c>
      <c r="B12" s="14" t="n">
        <v>123.9</v>
      </c>
      <c r="C12" s="14" t="n">
        <v>335.2</v>
      </c>
      <c r="D12" s="14" t="n">
        <v>761.1</v>
      </c>
      <c r="E12" s="14" t="n">
        <v>1210.8</v>
      </c>
      <c r="F12" s="14" t="n">
        <v>1253</v>
      </c>
      <c r="G12" s="12" t="s">
        <v>24</v>
      </c>
    </row>
    <row r="13" customFormat="false" ht="15" hidden="false" customHeight="false" outlineLevel="0" collapsed="false">
      <c r="A13" s="6" t="s">
        <v>29</v>
      </c>
      <c r="B13" s="15" t="n">
        <f aca="false">B12/B5</f>
        <v>0.0348288075560803</v>
      </c>
      <c r="C13" s="15" t="n">
        <f aca="false">C12/C5</f>
        <v>0.0645099209022151</v>
      </c>
      <c r="D13" s="15" t="n">
        <f aca="false">D12/D5</f>
        <v>0.106843546009686</v>
      </c>
      <c r="E13" s="15" t="n">
        <f aca="false">E12/E5</f>
        <v>0.0807776213699105</v>
      </c>
      <c r="F13" s="15" t="n">
        <f aca="false">F12/F5</f>
        <v>0.0570271254323685</v>
      </c>
    </row>
    <row r="15" customFormat="false" ht="15" hidden="false" customHeight="false" outlineLevel="0" collapsed="false">
      <c r="A15" s="4" t="s">
        <v>13</v>
      </c>
      <c r="B15" s="16" t="n">
        <v>111.9</v>
      </c>
      <c r="C15" s="16" t="n">
        <v>285.2</v>
      </c>
      <c r="D15" s="16" t="n">
        <v>640</v>
      </c>
      <c r="E15" s="16" t="n">
        <v>1152.7</v>
      </c>
      <c r="F15" s="16" t="n">
        <v>1048.9</v>
      </c>
      <c r="G15" s="12" t="s">
        <v>24</v>
      </c>
    </row>
    <row r="16" customFormat="false" ht="15" hidden="false" customHeight="false" outlineLevel="0" collapsed="false">
      <c r="A16" s="6" t="s">
        <v>30</v>
      </c>
      <c r="B16" s="15" t="n">
        <f aca="false">B15/B5</f>
        <v>0.0314555574295834</v>
      </c>
      <c r="C16" s="15" t="n">
        <f aca="false">C15/C5</f>
        <v>0.0548873193356556</v>
      </c>
      <c r="D16" s="15" t="n">
        <f aca="false">D15/D5</f>
        <v>0.0898434758194708</v>
      </c>
      <c r="E16" s="15" t="n">
        <f aca="false">E15/E5</f>
        <v>0.0769015230864684</v>
      </c>
      <c r="F16" s="15" t="n">
        <f aca="false">F15/F5</f>
        <v>0.0477380302202804</v>
      </c>
    </row>
    <row r="18" customFormat="false" ht="15" hidden="false" customHeight="false" outlineLevel="0" collapsed="false">
      <c r="A18" s="6" t="s">
        <v>31</v>
      </c>
      <c r="B18" s="15"/>
      <c r="C18" s="15" t="n">
        <f aca="false">C5/B5-1</f>
        <v>0.46064541519087</v>
      </c>
      <c r="D18" s="15" t="n">
        <f aca="false">D5/C5-1</f>
        <v>0.370932045187737</v>
      </c>
      <c r="E18" s="15" t="n">
        <f aca="false">E5/D5-1</f>
        <v>1.10420439390749</v>
      </c>
      <c r="F18" s="15" t="n">
        <f aca="false">F5/E5-1</f>
        <v>0.465845636554075</v>
      </c>
      <c r="G18" s="1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0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4"/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customFormat="false" ht="15" hidden="false" customHeight="false" outlineLevel="0" collapsed="false">
      <c r="A5" s="6" t="s">
        <v>15</v>
      </c>
      <c r="B5" s="11" t="n">
        <v>232.3</v>
      </c>
      <c r="C5" s="11" t="n">
        <v>267.4</v>
      </c>
      <c r="D5" s="11" t="n">
        <v>440.5</v>
      </c>
      <c r="E5" s="11" t="n">
        <v>1669.8</v>
      </c>
      <c r="F5" s="11" t="n">
        <v>5169.9</v>
      </c>
      <c r="G5" s="12" t="s">
        <v>24</v>
      </c>
    </row>
    <row r="6" customFormat="false" ht="15" hidden="false" customHeight="false" outlineLevel="0" collapsed="false">
      <c r="A6" s="6" t="s">
        <v>35</v>
      </c>
      <c r="B6" s="11" t="n">
        <v>463.8</v>
      </c>
      <c r="C6" s="11" t="n">
        <v>834.5</v>
      </c>
      <c r="D6" s="11" t="n">
        <v>1148.3</v>
      </c>
      <c r="E6" s="11" t="n">
        <v>2737.3</v>
      </c>
      <c r="F6" s="11" t="n">
        <v>2203.9</v>
      </c>
      <c r="G6" s="12" t="s">
        <v>24</v>
      </c>
    </row>
    <row r="7" customFormat="false" ht="15" hidden="false" customHeight="false" outlineLevel="0" collapsed="false">
      <c r="A7" s="6" t="s">
        <v>36</v>
      </c>
      <c r="B7" s="11" t="n">
        <v>1041</v>
      </c>
      <c r="C7" s="11" t="n">
        <v>1545.6</v>
      </c>
      <c r="D7" s="11" t="n">
        <v>1445.6</v>
      </c>
      <c r="E7" s="11" t="n">
        <v>4333</v>
      </c>
      <c r="F7" s="11" t="n">
        <v>4680.4</v>
      </c>
      <c r="G7" s="12" t="s">
        <v>24</v>
      </c>
    </row>
    <row r="8" customFormat="false" ht="15" hidden="false" customHeight="false" outlineLevel="0" collapsed="false">
      <c r="A8" s="4" t="s">
        <v>37</v>
      </c>
      <c r="B8" s="17" t="n">
        <f aca="false">SUM(B5:B7)</f>
        <v>1737.1</v>
      </c>
      <c r="C8" s="17" t="n">
        <f aca="false">SUM(C5:C7)</f>
        <v>2647.5</v>
      </c>
      <c r="D8" s="17" t="n">
        <f aca="false">SUM(D5:D7)</f>
        <v>3034.4</v>
      </c>
      <c r="E8" s="17" t="n">
        <f aca="false">SUM(E5:E7)</f>
        <v>8740.1</v>
      </c>
      <c r="F8" s="17" t="n">
        <f aca="false">SUM(F5:F7)</f>
        <v>12054.2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4"/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customFormat="false" ht="15" hidden="false" customHeight="false" outlineLevel="0" collapsed="false">
      <c r="A5" s="4" t="s">
        <v>39</v>
      </c>
      <c r="B5" s="11" t="n">
        <v>123</v>
      </c>
      <c r="C5" s="11" t="n">
        <v>-440.8</v>
      </c>
      <c r="D5" s="11" t="n">
        <v>663.6</v>
      </c>
      <c r="E5" s="11" t="n">
        <v>-2486</v>
      </c>
      <c r="F5" s="11" t="n">
        <v>1659.5</v>
      </c>
      <c r="G5" s="12" t="s">
        <v>40</v>
      </c>
    </row>
    <row r="6" customFormat="false" ht="15" hidden="false" customHeight="false" outlineLevel="0" collapsed="false">
      <c r="A6" s="6" t="s">
        <v>41</v>
      </c>
      <c r="B6" s="7" t="n">
        <f aca="false">'Historical Financials'!B15</f>
        <v>111.9</v>
      </c>
      <c r="C6" s="7" t="n">
        <f aca="false">'Historical Financials'!C15</f>
        <v>285.2</v>
      </c>
      <c r="D6" s="7" t="n">
        <f aca="false">'Historical Financials'!D15</f>
        <v>640</v>
      </c>
      <c r="E6" s="7" t="n">
        <f aca="false">'Historical Financials'!E15</f>
        <v>1152.7</v>
      </c>
      <c r="F6" s="7" t="n">
        <f aca="false">'Historical Financials'!F15</f>
        <v>1048.9</v>
      </c>
    </row>
    <row r="7" customFormat="false" ht="15" hidden="false" customHeight="false" outlineLevel="0" collapsed="false">
      <c r="A7" s="6" t="s">
        <v>42</v>
      </c>
      <c r="B7" s="15" t="n">
        <f aca="false">B5/B6</f>
        <v>1.09919571045576</v>
      </c>
      <c r="C7" s="15" t="n">
        <f aca="false">C5/C6</f>
        <v>-1.54558204768583</v>
      </c>
      <c r="D7" s="15" t="n">
        <f aca="false">D5/D6</f>
        <v>1.036875</v>
      </c>
      <c r="E7" s="15" t="n">
        <f aca="false">E5/E6</f>
        <v>-2.15667563112692</v>
      </c>
      <c r="F7" s="15" t="n">
        <f aca="false">F5/F6</f>
        <v>1.58213366383831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0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4"/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customFormat="false" ht="15" hidden="false" customHeight="false" outlineLevel="0" collapsed="false">
      <c r="A5" s="6" t="s">
        <v>45</v>
      </c>
      <c r="B5" s="18" t="n">
        <f aca="false">'Balance Sheet'!B6/'Historical Financials'!B5*365</f>
        <v>47.5872828470231</v>
      </c>
      <c r="C5" s="18" t="n">
        <f aca="false">'Balance Sheet'!C6/'Historical Financials'!C5*365</f>
        <v>58.6194453532457</v>
      </c>
      <c r="D5" s="18" t="n">
        <f aca="false">'Balance Sheet'!D6/'Historical Financials'!D5*365</f>
        <v>58.8375798413701</v>
      </c>
      <c r="E5" s="18" t="n">
        <f aca="false">'Balance Sheet'!E6/'Historical Financials'!E5*365</f>
        <v>66.6551806955628</v>
      </c>
      <c r="F5" s="18" t="n">
        <f aca="false">'Balance Sheet'!F6/'Historical Financials'!F5*365</f>
        <v>36.6113007464045</v>
      </c>
      <c r="G5" s="12" t="s">
        <v>46</v>
      </c>
    </row>
    <row r="6" customFormat="false" ht="15" hidden="false" customHeight="false" outlineLevel="0" collapsed="false">
      <c r="A6" s="6" t="s">
        <v>47</v>
      </c>
      <c r="B6" s="18" t="n">
        <f aca="false">'Balance Sheet'!B7/'Historical Financials'!B6*365</f>
        <v>125.695524165536</v>
      </c>
      <c r="C6" s="18" t="n">
        <f aca="false">'Balance Sheet'!C7/'Historical Financials'!C6*365</f>
        <v>128.328290985191</v>
      </c>
      <c r="D6" s="18" t="n">
        <f aca="false">'Balance Sheet'!D7/'Historical Financials'!D6*365</f>
        <v>90.3422652170191</v>
      </c>
      <c r="E6" s="18" t="n">
        <f aca="false">'Balance Sheet'!E7/'Historical Financials'!E6*365</f>
        <v>122.335800864796</v>
      </c>
      <c r="F6" s="18" t="n">
        <f aca="false">'Balance Sheet'!F7/'Historical Financials'!F6*365</f>
        <v>87.418752334703</v>
      </c>
      <c r="G6" s="12" t="s">
        <v>48</v>
      </c>
    </row>
    <row r="7" customFormat="false" ht="15" hidden="false" customHeight="false" outlineLevel="0" collapsed="false">
      <c r="A7" s="6" t="s">
        <v>49</v>
      </c>
      <c r="B7" s="8" t="n">
        <f aca="false">'Historical Financials'!B10/'Historical Financials'!B5</f>
        <v>0.0630797773654917</v>
      </c>
      <c r="C7" s="8" t="n">
        <f aca="false">'Historical Financials'!C10/'Historical Financials'!C5</f>
        <v>0.0524046881314832</v>
      </c>
      <c r="D7" s="8" t="n">
        <f aca="false">'Historical Financials'!D10/'Historical Financials'!D5</f>
        <v>0.0431389064364428</v>
      </c>
      <c r="E7" s="8" t="n">
        <f aca="false">'Historical Financials'!E10/'Historical Financials'!E5</f>
        <v>0.0309220577345173</v>
      </c>
      <c r="F7" s="8" t="n">
        <f aca="false">'Historical Financials'!F10/'Historical Financials'!F5</f>
        <v>0.0289686874203532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2026-08-30T00:48:59Z</dcterms:created>
  <dc:creator>openpyxl</dc:creator>
  <dc:description/>
  <dc:language>en-US</dc:language>
  <cp:lastModifiedBy/>
  <dcterms:modified xsi:type="dcterms:W3CDTF">2026-08-30T00:48:59Z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